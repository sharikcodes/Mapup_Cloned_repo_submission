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s\MapUp-Data-Assessment-F-main\"/>
    </mc:Choice>
  </mc:AlternateContent>
  <xr:revisionPtr revIDLastSave="0" documentId="13_ncr:1_{E998945C-2BF0-4E29-8081-64D4D59992FE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3" i="20"/>
  <c r="C24" i="20"/>
  <c r="C25" i="20"/>
  <c r="C26" i="20"/>
  <c r="C27" i="20"/>
  <c r="C28" i="20"/>
  <c r="C29" i="20"/>
  <c r="C30" i="20"/>
  <c r="C31" i="20"/>
  <c r="C32" i="20"/>
  <c r="C34" i="20"/>
  <c r="C35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D6" i="18"/>
  <c r="C6" i="18"/>
  <c r="B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<sst xmlns="http://schemas.openxmlformats.org/spreadsheetml/2006/main" count="413" uniqueCount="184">
  <si>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</si>
  <si>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</si>
  <si>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</si>
  <si>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</si>
  <si>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</si>
  <si>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</si>
  <si>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</si>
  <si>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</si>
  <si>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</si>
  <si>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</si>
  <si>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</si>
  <si>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</si>
  <si>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</si>
  <si>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</si>
  <si>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</si>
  <si>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</si>
  <si>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</si>
  <si>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</si>
  <si>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</si>
  <si>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</si>
  <si>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</si>
  <si>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</si>
  <si>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</si>
  <si>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</si>
  <si>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</si>
  <si>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</si>
  <si>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</si>
  <si>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</si>
  <si>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</si>
  <si>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</si>
  <si>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</si>
  <si>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</si>
  <si>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</si>
  <si>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</si>
  <si>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</si>
  <si>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</si>
  <si>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</si>
  <si>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</si>
  <si>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</si>
  <si>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</si>
  <si>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</si>
  <si>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</si>
  <si>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</si>
  <si>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</si>
  <si>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</si>
  <si>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</si>
  <si>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</si>
  <si>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</si>
  <si>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</si>
  <si>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</si>
  <si>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</si>
  <si>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</si>
  <si>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</si>
  <si>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</si>
  <si>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</si>
  <si>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</si>
  <si>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</si>
  <si>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</si>
  <si>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</si>
  <si>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</si>
  <si>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</si>
  <si>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</si>
  <si>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</si>
  <si>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</si>
  <si>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</si>
  <si>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</si>
  <si>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</si>
  <si>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</si>
  <si>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</si>
  <si>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</si>
  <si>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</si>
  <si>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</si>
  <si>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</si>
  <si>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</si>
  <si>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</si>
  <si>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</si>
  <si>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</si>
  <si>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</si>
  <si>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</si>
  <si>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</si>
  <si>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</si>
  <si>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</si>
  <si>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</si>
  <si>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</si>
  <si>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</si>
  <si>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</si>
  <si>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</si>
  <si>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</si>
  <si>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</si>
  <si>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</si>
  <si>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</si>
  <si>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</si>
  <si>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</si>
  <si>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</si>
  <si>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</si>
  <si>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</si>
  <si>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</si>
  <si>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</si>
  <si>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</si>
  <si>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</si>
  <si>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</si>
  <si>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</si>
  <si>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</si>
  <si>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</si>
  <si>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</si>
  <si>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</si>
  <si>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</si>
  <si>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</si>
  <si>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</si>
  <si>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</si>
  <si>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</si>
  <si>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</si>
  <si>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</si>
  <si>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</si>
  <si>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</si>
  <si>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</si>
  <si>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</si>
  <si>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</si>
  <si>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</si>
  <si>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</si>
  <si>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</si>
  <si>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</si>
  <si>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</si>
  <si>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</si>
  <si>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</si>
  <si>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</si>
  <si>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</si>
  <si>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</si>
  <si>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</si>
  <si>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</si>
  <si>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</si>
  <si>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</si>
  <si>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</si>
  <si>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</si>
  <si>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</si>
  <si>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</si>
  <si>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</si>
  <si>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</si>
  <si>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</si>
  <si>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</si>
  <si>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</si>
  <si>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</si>
  <si>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</si>
  <si>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</si>
  <si>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</si>
  <si>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</si>
  <si>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</si>
  <si>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</si>
  <si>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</si>
  <si>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</si>
  <si>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</si>
  <si>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</si>
  <si>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</si>
  <si>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</si>
  <si>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</si>
  <si>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</si>
  <si>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</si>
  <si>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</si>
  <si>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</si>
  <si>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</si>
  <si>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</si>
  <si>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</si>
  <si>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</si>
  <si>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</si>
  <si>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</si>
  <si>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</si>
  <si>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</si>
  <si>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</si>
  <si>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</si>
  <si>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</si>
  <si>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</si>
  <si>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</si>
  <si>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</si>
  <si>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</si>
  <si>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</si>
  <si>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</si>
  <si>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</si>
  <si>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</si>
  <si>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SUMIF(G2:G40, "&gt;20",G2:G40)</t>
  </si>
  <si>
    <t xml:space="preserve">Done </t>
  </si>
  <si>
    <t xml:space="preserve">I have Used delimited feature of excel to separate each field in data tab </t>
  </si>
  <si>
    <t>Used Delimited feature on data Tab</t>
  </si>
  <si>
    <t>SUM(IFERROR(C12:C21,20))</t>
  </si>
  <si>
    <t>To calculate the sum of sales in Table_A while substituting all #N/A values with the value '20', you can use the IFERROR function to replace the #N/A values and then use the SUM function.This formula replaces any #N/A values in Table_A with the value '20' and then calculates the sum of the modified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</si>
</sst>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6CEB15"/>
        </patternFill>
      </fill>
    </dxf>
    <dxf>
      <fill>
        <patternFill>
          <bgColor rgb="FFFF373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E15CDC41-B580-4349-B6E3-91DA685C2BBF}"/>
    <tableStyle name="MySqlDefault" pivot="0" table="0" count="2" xr9:uid="{00000000-0011-0000-FFFF-FFFF00000000}">
      <tableStyleElement type="wholeTable" dxfId="5"/>
      <tableStyleElement type="headerRow" dxfId="4"/>
    </tableStyle>
  </tableStyles>
  <colors>
    <mruColors>
      <color rgb="FFFF3737"/>
      <color rgb="FF6CEB15"/>
      <color rgb="FF2DD351"/>
      <color rgb="FF5CF67D"/>
      <color rgb="FFFF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30" zoomScaleNormal="130" workbookViewId="0">
      <selection activeCell="B14" sqref="B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abSelected="1" topLeftCell="L1" zoomScale="115" zoomScaleNormal="115" workbookViewId="0">
      <pane ySplit="1" topLeftCell="A20" activePane="bottomLeft" state="frozen"/>
      <selection activeCell="M1" sqref="M1"/>
      <selection pane="bottomLeft" activeCell="V40" sqref="V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4" spans="1:24" x14ac:dyDescent="0.3">
      <c r="A44" s="3" t="s">
        <v>160</v>
      </c>
      <c r="B44" s="1">
        <f>SUMIF(G2:G40, "&gt;20",G2:G40)</f>
        <v>958.5999999999998</v>
      </c>
    </row>
  </sheetData>
  <phoneticPr fontId="18" type="noConversion"/>
  <conditionalFormatting sqref="A1:A43 A45:A1048576 B44">
    <cfRule type="duplicateValues" dxfId="3" priority="5"/>
  </conditionalFormatting>
  <conditionalFormatting sqref="B1:B43 B45:B1048576">
    <cfRule type="duplicateValues" dxfId="2" priority="4"/>
  </conditionalFormatting>
  <conditionalFormatting sqref="G1:W40">
    <cfRule type="cellIs" dxfId="1" priority="2" operator="equal">
      <formula>-1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D15" sqref="D1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5.77734375" style="1" bestFit="1" customWidth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177</v>
      </c>
      <c r="F1" s="1" t="s">
        <v>179</v>
      </c>
    </row>
    <row r="2" spans="1:6" x14ac:dyDescent="0.3">
      <c r="A2" s="2"/>
      <c r="B2" s="5" t="s">
        <v>161</v>
      </c>
      <c r="C2" s="2"/>
      <c r="F2" s="1" t="s">
        <v>179</v>
      </c>
    </row>
    <row r="3" spans="1:6" x14ac:dyDescent="0.3">
      <c r="A3" s="6">
        <v>1</v>
      </c>
      <c r="B3" s="2" t="s">
        <v>108</v>
      </c>
      <c r="C3" s="2" t="s">
        <v>45</v>
      </c>
      <c r="E3" s="1">
        <v>5</v>
      </c>
      <c r="F3" s="1" t="s">
        <v>179</v>
      </c>
    </row>
    <row r="4" spans="1:6" x14ac:dyDescent="0.3">
      <c r="A4" s="6">
        <v>2</v>
      </c>
      <c r="B4" s="2" t="s">
        <v>46</v>
      </c>
      <c r="C4" s="2"/>
      <c r="E4" s="1">
        <v>5</v>
      </c>
      <c r="F4" s="1" t="s">
        <v>179</v>
      </c>
    </row>
    <row r="5" spans="1:6" x14ac:dyDescent="0.3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  <c r="F5" s="1" t="s">
        <v>179</v>
      </c>
    </row>
    <row r="6" spans="1:6" x14ac:dyDescent="0.3">
      <c r="A6" s="6">
        <v>4</v>
      </c>
      <c r="B6" s="2" t="s">
        <v>107</v>
      </c>
      <c r="C6" s="2"/>
      <c r="E6" s="1">
        <v>5</v>
      </c>
      <c r="F6" s="1" t="s">
        <v>179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1" sqref="H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VLOOKUP(A6,Dataset!A1:X40,7,0)</f>
        <v>2.7</v>
      </c>
      <c r="C6" s="12">
        <f>VLOOKUP(A6,Dataset!A1:X40,14,0)</f>
        <v>7.6</v>
      </c>
      <c r="D6" s="12">
        <f>VLOOKUP(A6,Dataset!A1:X40,18,0)</f>
        <v>4.2</v>
      </c>
      <c r="E6" s="12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2">
        <f>VLOOKUP(A7,Dataset!A2:X41,7,0)</f>
        <v>2.7</v>
      </c>
      <c r="C7" s="12">
        <f>VLOOKUP(A7,Dataset!A2:X41,14,0)</f>
        <v>7.6</v>
      </c>
      <c r="D7" s="12">
        <f>VLOOKUP(A7,Dataset!A2:X41,18,0)</f>
        <v>4.2</v>
      </c>
      <c r="E7" s="12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2">
        <f>VLOOKUP(A8,Dataset!A3:X42,7,0)</f>
        <v>3.6</v>
      </c>
      <c r="C8" s="12">
        <f>VLOOKUP(A8,Dataset!A3:X42,14,0)</f>
        <v>11.1</v>
      </c>
      <c r="D8" s="12">
        <f>VLOOKUP(A8,Dataset!A3:X42,18,0)</f>
        <v>5.8</v>
      </c>
      <c r="E8" s="12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2">
        <f>VLOOKUP(A9,Dataset!A4:X43,7,0)</f>
        <v>4.9000000000000004</v>
      </c>
      <c r="C9" s="12">
        <f>VLOOKUP(A9,Dataset!A4:X43,14,0)</f>
        <v>13.3</v>
      </c>
      <c r="D9" s="12">
        <f>VLOOKUP(A9,Dataset!A4:X43,18,0)</f>
        <v>8.1</v>
      </c>
      <c r="E9" s="12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2">
        <f>VLOOKUP(A10,Dataset!A5:X44,7,0)</f>
        <v>9.4</v>
      </c>
      <c r="C10" s="12">
        <f>VLOOKUP(A10,Dataset!A5:X44,14,0)</f>
        <v>28.3</v>
      </c>
      <c r="D10" s="12">
        <f>VLOOKUP(A10,Dataset!A5:X44,18,0)</f>
        <v>16.100000000000001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2">
        <f>VLOOKUP(A11,Dataset!A6:X45,7,0)</f>
        <v>11.6</v>
      </c>
      <c r="C11" s="12">
        <f>VLOOKUP(A11,Dataset!A6:X45,14,0)</f>
        <v>35.200000000000003</v>
      </c>
      <c r="D11" s="12">
        <f>VLOOKUP(A11,Dataset!A6:X45,18,0)</f>
        <v>21.3</v>
      </c>
      <c r="E11" s="12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2">
        <f>VLOOKUP(A12,Dataset!A7:X46,7,0)</f>
        <v>18.399999999999999</v>
      </c>
      <c r="C12" s="12">
        <f>VLOOKUP(A12,Dataset!A7:X46,14,0)</f>
        <v>55.6</v>
      </c>
      <c r="D12" s="12">
        <f>VLOOKUP(A12,Dataset!A7:X46,18,0)</f>
        <v>33.799999999999997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2">
        <f>VLOOKUP(A13,Dataset!A8:X47,7,0)</f>
        <v>0</v>
      </c>
      <c r="C13" s="12">
        <f>VLOOKUP(A13,Dataset!A8:X47,14,0)</f>
        <v>0</v>
      </c>
      <c r="D13" s="12">
        <f>VLOOKUP(A13,Dataset!A8:X47,18,0)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2">
        <f>VLOOKUP(A14,Dataset!A9:X48,7,0)</f>
        <v>21.9</v>
      </c>
      <c r="C14" s="12">
        <f>VLOOKUP(A14,Dataset!A9:X48,14,0)</f>
        <v>61.5</v>
      </c>
      <c r="D14" s="12">
        <f>VLOOKUP(A14,Dataset!A9:X48,18,0)</f>
        <v>40.1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2">
        <f>VLOOKUP(A15,Dataset!A10:X49,7,0)</f>
        <v>26.8</v>
      </c>
      <c r="C15" s="12">
        <f>VLOOKUP(A15,Dataset!A10:X49,14,0)</f>
        <v>79.599999999999994</v>
      </c>
      <c r="D15" s="12">
        <f>VLOOKUP(A15,Dataset!A10:X49,18,0)</f>
        <v>47.9</v>
      </c>
      <c r="E15" s="12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2">
        <f>VLOOKUP(A16,Dataset!A11:X50,7,0)</f>
        <v>28.5</v>
      </c>
      <c r="C16" s="12">
        <f>VLOOKUP(A16,Dataset!A11:X50,14,0)</f>
        <v>85.4</v>
      </c>
      <c r="D16" s="12">
        <f>VLOOKUP(A16,Dataset!A11:X50,18,0)</f>
        <v>52.3</v>
      </c>
      <c r="E16" s="12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2">
        <f>VLOOKUP(A17,Dataset!A12:X51,7,0)</f>
        <v>30.7</v>
      </c>
      <c r="C17" s="12">
        <f>VLOOKUP(A17,Dataset!A12:X51,14,0)</f>
        <v>92.1</v>
      </c>
      <c r="D17" s="12">
        <f>VLOOKUP(A17,Dataset!A12:X51,18,0)</f>
        <v>57</v>
      </c>
      <c r="E17" s="12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2">
        <f>VLOOKUP(A18,Dataset!A13:X52,7,0)</f>
        <v>33.799999999999997</v>
      </c>
      <c r="C18" s="12">
        <f>VLOOKUP(A18,Dataset!A13:X52,14,0)</f>
        <v>101.3</v>
      </c>
      <c r="D18" s="12">
        <f>VLOOKUP(A18,Dataset!A13:X52,18,0)</f>
        <v>61.4</v>
      </c>
      <c r="E18" s="12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2">
        <f>VLOOKUP(A19,Dataset!A14:X53,7,0)</f>
        <v>34.700000000000003</v>
      </c>
      <c r="C19" s="12">
        <f>VLOOKUP(A19,Dataset!A14:X53,14,0)</f>
        <v>106.1</v>
      </c>
      <c r="D19" s="12">
        <f>VLOOKUP(A19,Dataset!A14:X53,18,0)</f>
        <v>63.6</v>
      </c>
      <c r="E19" s="12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2">
        <f>VLOOKUP(A20,Dataset!A15:X54,7,0)</f>
        <v>0</v>
      </c>
      <c r="C20" s="12">
        <f>VLOOKUP(A20,Dataset!A15:X54,14,0)</f>
        <v>0</v>
      </c>
      <c r="D20" s="12">
        <f>VLOOKUP(A20,Dataset!A15:X54,18,0)</f>
        <v>0</v>
      </c>
      <c r="E20" s="12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2">
        <f>VLOOKUP(A21,Dataset!A16:X55,7,0)</f>
        <v>41.3</v>
      </c>
      <c r="C21" s="12">
        <f>VLOOKUP(A21,Dataset!A16:X55,14,0)</f>
        <v>124.4</v>
      </c>
      <c r="D21" s="12">
        <f>VLOOKUP(A21,Dataset!A16:X55,18,0)</f>
        <v>75</v>
      </c>
      <c r="E21" s="12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2">
        <f>VLOOKUP(A22,Dataset!A17:X56,7,0)</f>
        <v>-1</v>
      </c>
      <c r="C22" s="12">
        <f>VLOOKUP(A22,Dataset!A17:X56,14,0)</f>
        <v>-1</v>
      </c>
      <c r="D22" s="12">
        <f>VLOOKUP(A22,Dataset!A17:X56,18,0)</f>
        <v>-1</v>
      </c>
      <c r="E22" s="12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2">
        <f>VLOOKUP(A23,Dataset!A18:X57,7,0)</f>
        <v>45</v>
      </c>
      <c r="C23" s="12">
        <f>VLOOKUP(A23,Dataset!A18:X57,14,0)</f>
        <v>133.4</v>
      </c>
      <c r="D23" s="12">
        <f>VLOOKUP(A23,Dataset!A18:X57,18,0)</f>
        <v>79.400000000000006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2">
        <f>VLOOKUP(A24,Dataset!A19:X58,7,0)</f>
        <v>-1</v>
      </c>
      <c r="C24" s="12">
        <f>VLOOKUP(A24,Dataset!A19:X58,14,0)</f>
        <v>-1</v>
      </c>
      <c r="D24" s="12">
        <f>VLOOKUP(A24,Dataset!A19:X58,18,0)</f>
        <v>-1</v>
      </c>
      <c r="E24" s="12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2">
        <f>VLOOKUP(A25,Dataset!A20:X59,7,0)</f>
        <v>43.3</v>
      </c>
      <c r="C25" s="12">
        <f>VLOOKUP(A25,Dataset!A20:X59,14,0)</f>
        <v>128.6</v>
      </c>
      <c r="D25" s="12">
        <f>VLOOKUP(A25,Dataset!A20:X59,18,0)</f>
        <v>79.400000000000006</v>
      </c>
      <c r="E25" s="12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2">
        <f>VLOOKUP(A26,Dataset!A21:X60,7,0)</f>
        <v>49.1</v>
      </c>
      <c r="C26" s="12">
        <f>VLOOKUP(A26,Dataset!A21:X60,14,0)</f>
        <v>146.80000000000001</v>
      </c>
      <c r="D26" s="12">
        <f>VLOOKUP(A26,Dataset!A21:X60,18,0)</f>
        <v>90.9</v>
      </c>
      <c r="E26" s="12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2">
        <f>VLOOKUP(A27,Dataset!A22:X61,7,0)</f>
        <v>51.8</v>
      </c>
      <c r="C27" s="12">
        <f>VLOOKUP(A27,Dataset!A22:X61,14,0)</f>
        <v>156.4</v>
      </c>
      <c r="D27" s="12">
        <f>VLOOKUP(A27,Dataset!A22:X61,18,0)</f>
        <v>93.1</v>
      </c>
      <c r="E27" s="12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0">MAX(C6:C27)</f>
        <v>156.4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1">AVERAGE(C6:C27)</f>
        <v>62.377272727272725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9" sqref="F9"/>
    </sheetView>
  </sheetViews>
  <sheetFormatPr defaultColWidth="11" defaultRowHeight="14.4" x14ac:dyDescent="0.3"/>
  <cols>
    <col min="1" max="1" width="39.77734375" style="1" bestFit="1" customWidth="1"/>
    <col min="2" max="2" width="16.88671875" style="1" customWidth="1"/>
    <col min="3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 t="s">
        <v>181</v>
      </c>
    </row>
    <row r="6" spans="1:10" ht="18" x14ac:dyDescent="0.35">
      <c r="A6" s="43" t="s">
        <v>154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J12" sqref="J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182</v>
      </c>
    </row>
    <row r="7" spans="1:3" ht="14.4" x14ac:dyDescent="0.3">
      <c r="A7" s="3" t="s">
        <v>154</v>
      </c>
      <c r="B7" s="1" t="s">
        <v>183</v>
      </c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 t="e">
        <v>#N/A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2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 t="str">
        <f>VLOOKUP(B23,M9:N18,2,0)</f>
        <v>B</v>
      </c>
    </row>
    <row r="24" spans="1:14" ht="14.4" x14ac:dyDescent="0.3">
      <c r="A24" s="7">
        <v>10100</v>
      </c>
      <c r="B24" s="12">
        <v>10104</v>
      </c>
      <c r="C24" s="44" t="str">
        <f t="shared" ref="C24:C35" si="0">VLOOKUP(B24,M10:N19,2,0)</f>
        <v>C</v>
      </c>
    </row>
    <row r="25" spans="1:14" ht="14.4" x14ac:dyDescent="0.3">
      <c r="A25" s="7">
        <v>10108</v>
      </c>
      <c r="B25" s="12">
        <v>10102</v>
      </c>
      <c r="C25" s="44" t="str">
        <f t="shared" si="0"/>
        <v>B</v>
      </c>
    </row>
    <row r="26" spans="1:14" ht="14.4" x14ac:dyDescent="0.3">
      <c r="A26" s="7">
        <v>10100</v>
      </c>
      <c r="B26" s="12">
        <v>10106</v>
      </c>
      <c r="C26" s="44" t="str">
        <f t="shared" si="0"/>
        <v>D</v>
      </c>
    </row>
    <row r="27" spans="1:14" ht="14.4" x14ac:dyDescent="0.3">
      <c r="A27" s="7">
        <v>10108</v>
      </c>
      <c r="B27" s="12">
        <v>10110</v>
      </c>
      <c r="C27" s="44" t="str">
        <f t="shared" si="0"/>
        <v>F</v>
      </c>
    </row>
    <row r="28" spans="1:14" ht="14.4" x14ac:dyDescent="0.3">
      <c r="A28" s="7">
        <v>10102</v>
      </c>
      <c r="B28" s="12">
        <v>10104</v>
      </c>
      <c r="C28" s="44" t="e">
        <f t="shared" si="0"/>
        <v>#N/A</v>
      </c>
    </row>
    <row r="29" spans="1:14" ht="14.4" x14ac:dyDescent="0.3">
      <c r="A29" s="7">
        <v>10106</v>
      </c>
      <c r="B29" s="12">
        <v>10108</v>
      </c>
      <c r="C29" s="44" t="e">
        <f t="shared" si="0"/>
        <v>#N/A</v>
      </c>
    </row>
    <row r="30" spans="1:14" ht="14.4" x14ac:dyDescent="0.3">
      <c r="A30" s="7">
        <v>10102</v>
      </c>
      <c r="B30" s="12">
        <v>10106</v>
      </c>
      <c r="C30" s="44" t="e">
        <f t="shared" si="0"/>
        <v>#N/A</v>
      </c>
    </row>
    <row r="31" spans="1:14" ht="14.4" x14ac:dyDescent="0.3">
      <c r="A31" s="7">
        <v>10110</v>
      </c>
      <c r="B31" s="12">
        <v>10114</v>
      </c>
      <c r="C31" s="44" t="str">
        <f t="shared" si="0"/>
        <v>H</v>
      </c>
    </row>
    <row r="32" spans="1:14" ht="14.4" x14ac:dyDescent="0.3">
      <c r="A32" s="7">
        <v>10104</v>
      </c>
      <c r="B32" s="12">
        <v>10106</v>
      </c>
      <c r="C32" s="44" t="e">
        <f t="shared" si="0"/>
        <v>#N/A</v>
      </c>
    </row>
    <row r="33" spans="1:3" ht="14.4" x14ac:dyDescent="0.3">
      <c r="A33" s="7">
        <v>10110</v>
      </c>
      <c r="B33" s="12">
        <v>10112</v>
      </c>
      <c r="C33" s="44" t="e">
        <f>VLOOKUP(B33,M19:N28,2,0)</f>
        <v>#N/A</v>
      </c>
    </row>
    <row r="34" spans="1:3" ht="14.4" x14ac:dyDescent="0.3">
      <c r="A34" s="7">
        <v>10100</v>
      </c>
      <c r="B34" s="12">
        <v>10114</v>
      </c>
      <c r="C34" s="44" t="e">
        <f t="shared" si="0"/>
        <v>#N/A</v>
      </c>
    </row>
    <row r="35" spans="1:3" ht="14.4" x14ac:dyDescent="0.3">
      <c r="A35" s="9">
        <v>10112</v>
      </c>
      <c r="B35" s="13">
        <v>10116</v>
      </c>
      <c r="C35" s="44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Sharik khan</cp:lastModifiedBy>
  <dcterms:created xsi:type="dcterms:W3CDTF">2015-02-10T17:33:11Z</dcterms:created>
  <dcterms:modified xsi:type="dcterms:W3CDTF">2023-12-11T17:01:40Z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2023-12-11T16:39:25Z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bf54e7e7-e29a-4e00-85f9-64b1fd151ed5</vt:lpwstr>
  </property>
  <property fmtid="{D5CDD505-2E9C-101B-9397-08002B2CF9AE}" pid="7" name="MSIP_Label_defa4170-0d19-0005-0004-bc88714345d2_ActionId">
    <vt:lpwstr>edb36a93-c196-4425-a92e-c165e74ff132</vt:lpwstr>
  </property>
  <property fmtid="{D5CDD505-2E9C-101B-9397-08002B2CF9AE}" pid="8" name="MSIP_Label_defa4170-0d19-0005-0004-bc88714345d2_ContentBits">
    <vt:lpwstr>0</vt:lpwstr>
  </property>
</Properties>
</file>